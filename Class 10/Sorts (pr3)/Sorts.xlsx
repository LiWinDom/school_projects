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ot\source\repos\Class 10\Sorts (pr3)\"/>
    </mc:Choice>
  </mc:AlternateContent>
  <xr:revisionPtr revIDLastSave="0" documentId="13_ncr:1_{E2EF54DF-4085-4E25-9910-71C766B33BC0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" l="1"/>
  <c r="B44" i="1" s="1"/>
  <c r="I41" i="1"/>
  <c r="F50" i="1" s="1"/>
  <c r="I40" i="1"/>
  <c r="F49" i="1" s="1"/>
  <c r="I39" i="1"/>
  <c r="F48" i="1" s="1"/>
  <c r="I38" i="1"/>
  <c r="F47" i="1" s="1"/>
  <c r="I37" i="1"/>
  <c r="F46" i="1" s="1"/>
  <c r="I36" i="1"/>
  <c r="F45" i="1" s="1"/>
  <c r="I35" i="1"/>
  <c r="F44" i="1" s="1"/>
  <c r="I33" i="1"/>
  <c r="E50" i="1" s="1"/>
  <c r="I32" i="1"/>
  <c r="E49" i="1" s="1"/>
  <c r="I31" i="1"/>
  <c r="E48" i="1" s="1"/>
  <c r="I30" i="1"/>
  <c r="E47" i="1" s="1"/>
  <c r="I29" i="1"/>
  <c r="E46" i="1" s="1"/>
  <c r="I28" i="1"/>
  <c r="E45" i="1" s="1"/>
  <c r="I27" i="1"/>
  <c r="E44" i="1" s="1"/>
  <c r="I25" i="1"/>
  <c r="D50" i="1" s="1"/>
  <c r="I24" i="1"/>
  <c r="D49" i="1" s="1"/>
  <c r="I23" i="1"/>
  <c r="D48" i="1" s="1"/>
  <c r="I22" i="1"/>
  <c r="D47" i="1" s="1"/>
  <c r="I21" i="1"/>
  <c r="D46" i="1" s="1"/>
  <c r="I20" i="1"/>
  <c r="D45" i="1" s="1"/>
  <c r="I19" i="1"/>
  <c r="D44" i="1" s="1"/>
  <c r="I17" i="1"/>
  <c r="C50" i="1" s="1"/>
  <c r="I16" i="1"/>
  <c r="C49" i="1" s="1"/>
  <c r="I15" i="1"/>
  <c r="C48" i="1" s="1"/>
  <c r="I14" i="1"/>
  <c r="C47" i="1" s="1"/>
  <c r="I13" i="1"/>
  <c r="C46" i="1" s="1"/>
  <c r="I12" i="1"/>
  <c r="C45" i="1" s="1"/>
  <c r="I11" i="1"/>
  <c r="C44" i="1" s="1"/>
  <c r="I4" i="1"/>
  <c r="B45" i="1" s="1"/>
  <c r="I5" i="1"/>
  <c r="B46" i="1" s="1"/>
  <c r="I6" i="1"/>
  <c r="B47" i="1" s="1"/>
  <c r="I7" i="1"/>
  <c r="B48" i="1" s="1"/>
  <c r="I8" i="1"/>
  <c r="B49" i="1" s="1"/>
  <c r="I9" i="1"/>
  <c r="B50" i="1" s="1"/>
</calcChain>
</file>

<file path=xl/sharedStrings.xml><?xml version="1.0" encoding="utf-8"?>
<sst xmlns="http://schemas.openxmlformats.org/spreadsheetml/2006/main" count="20" uniqueCount="14">
  <si>
    <t>std::sort</t>
  </si>
  <si>
    <t>#1</t>
  </si>
  <si>
    <t>#2</t>
  </si>
  <si>
    <t>#3</t>
  </si>
  <si>
    <t>#4</t>
  </si>
  <si>
    <t>#5</t>
  </si>
  <si>
    <t>#6</t>
  </si>
  <si>
    <t>#7</t>
  </si>
  <si>
    <t>Avarage</t>
  </si>
  <si>
    <t>Array size</t>
  </si>
  <si>
    <t>std::qsort</t>
  </si>
  <si>
    <t>My quick sort</t>
  </si>
  <si>
    <t>Radix sort</t>
  </si>
  <si>
    <t>Heap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</si>
</sst>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right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right"/>
    </xf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center" vertical="center"/>
    </xf>
    <xf numFmtId="0" fontId="0" fillId="2" borderId="4" xfId="0" applyFill="1" applyBorder="1"/>
    <xf numFmtId="0" fontId="0" fillId="2" borderId="1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4" xfId="0" applyFill="1" applyBorder="1"/>
    <xf numFmtId="0" fontId="0" fillId="3" borderId="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/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Sorting time (in 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Лист1!$B$43</c:f>
              <c:strCache>
                <c:ptCount val="1"/>
                <c:pt idx="0">
                  <c:v>std::sort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</c:v>
              </c:pt>
              <c:pt idx="6">
                <c:v>10000000</c:v>
              </c:pt>
            </c:numLit>
          </c:cat>
          <c:val>
            <c:numRef>
              <c:f>Лист1!$B$44:$B$50</c:f>
              <c:numCache>
                <c:formatCode>General</c:formatCode>
                <c:ptCount val="7"/>
                <c:pt idx="0">
                  <c:v>6.9999999999999999E-4</c:v>
                </c:pt>
                <c:pt idx="1">
                  <c:v>9.5428571428571429E-3</c:v>
                </c:pt>
                <c:pt idx="2">
                  <c:v>0.10425714285714285</c:v>
                </c:pt>
                <c:pt idx="3">
                  <c:v>0.75535714285714284</c:v>
                </c:pt>
                <c:pt idx="4">
                  <c:v>9.5119571428571437</c:v>
                </c:pt>
                <c:pt idx="5">
                  <c:v>112.22632857142857</c:v>
                </c:pt>
                <c:pt idx="6">
                  <c:v>1218.5014285714285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AA-4127-B14E-163DDBFE60B2}"/>
            </c:ext>
          </c:extLst>
        </c:ser>
        <c:ser>
          <c:idx val="1"/>
          <c:order val="1"/>
          <c:tx>
            <c:strRef>
              <c:f>Лист1!$C$43</c:f>
              <c:strCache>
                <c:ptCount val="1"/>
                <c:pt idx="0">
                  <c:v>std::qsort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</c:v>
              </c:pt>
              <c:pt idx="6">
                <c:v>10000000</c:v>
              </c:pt>
            </c:numLit>
          </c:cat>
          <c:val>
            <c:numRef>
              <c:f>Лист1!$C$44:$C$50</c:f>
              <c:numCache>
                <c:formatCode>General</c:formatCode>
                <c:ptCount val="7"/>
                <c:pt idx="0">
                  <c:v>3.6857142857142861E-3</c:v>
                </c:pt>
                <c:pt idx="1">
                  <c:v>2.7157142857142859E-2</c:v>
                </c:pt>
                <c:pt idx="2">
                  <c:v>0.15565714285714286</c:v>
                </c:pt>
                <c:pt idx="3">
                  <c:v>1.4440714285714285</c:v>
                </c:pt>
                <c:pt idx="4">
                  <c:v>17.137571428571427</c:v>
                </c:pt>
                <c:pt idx="5">
                  <c:v>193.74114285714288</c:v>
                </c:pt>
                <c:pt idx="6">
                  <c:v>2064.2857142857142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AA-4127-B14E-163DDBFE60B2}"/>
            </c:ext>
          </c:extLst>
        </c:ser>
        <c:ser>
          <c:idx val="2"/>
          <c:order val="2"/>
          <c:tx>
            <c:strRef>
              <c:f>Лист1!$D$43</c:f>
              <c:strCache>
                <c:ptCount val="1"/>
                <c:pt idx="0">
                  <c:v>My quick 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</c:v>
              </c:pt>
              <c:pt idx="6">
                <c:v>10000000</c:v>
              </c:pt>
            </c:numLit>
          </c:cat>
          <c:val>
            <c:numRef>
              <c:f>Лист1!$D$44:$D$50</c:f>
              <c:numCache>
                <c:formatCode>General</c:formatCode>
                <c:ptCount val="7"/>
                <c:pt idx="0">
                  <c:v>9.0000000000000008E-4</c:v>
                </c:pt>
                <c:pt idx="1">
                  <c:v>1.0400000000000001E-2</c:v>
                </c:pt>
                <c:pt idx="2">
                  <c:v>9.4585714285714287E-2</c:v>
                </c:pt>
                <c:pt idx="3">
                  <c:v>0.80572857142857135</c:v>
                </c:pt>
                <c:pt idx="4">
                  <c:v>10.09232857142857</c:v>
                </c:pt>
                <c:pt idx="5">
                  <c:v>112.71365714285714</c:v>
                </c:pt>
                <c:pt idx="6">
                  <c:v>1153.5285714285715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AA-4127-B14E-163DDBFE60B2}"/>
            </c:ext>
          </c:extLst>
        </c:ser>
        <c:ser>
          <c:idx val="3"/>
          <c:order val="3"/>
          <c:tx>
            <c:strRef>
              <c:f>Лист1!$E$43</c:f>
              <c:strCache>
                <c:ptCount val="1"/>
                <c:pt idx="0">
                  <c:v>Radix 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</c:v>
              </c:pt>
              <c:pt idx="6">
                <c:v>10000000</c:v>
              </c:pt>
            </c:numLit>
          </c:cat>
          <c:val>
            <c:numRef>
              <c:f>Лист1!$E$44:$E$50</c:f>
              <c:numCache>
                <c:formatCode>General</c:formatCode>
                <c:ptCount val="7"/>
                <c:pt idx="0">
                  <c:v>1.4985714285714285E-2</c:v>
                </c:pt>
                <c:pt idx="1">
                  <c:v>2.8785714285714283E-2</c:v>
                </c:pt>
                <c:pt idx="2">
                  <c:v>0.14597142857142859</c:v>
                </c:pt>
                <c:pt idx="3">
                  <c:v>0.38364285714285712</c:v>
                </c:pt>
                <c:pt idx="4">
                  <c:v>3.9642285714285714</c:v>
                </c:pt>
                <c:pt idx="5">
                  <c:v>66.190371428571424</c:v>
                </c:pt>
                <c:pt idx="6">
                  <c:v>574.16257142857148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AA-4127-B14E-163DDBFE60B2}"/>
            </c:ext>
          </c:extLst>
        </c:ser>
        <c:ser>
          <c:idx val="4"/>
          <c:order val="4"/>
          <c:tx>
            <c:strRef>
              <c:f>Лист1!$F$43</c:f>
              <c:strCache>
                <c:ptCount val="1"/>
                <c:pt idx="0">
                  <c:v>Heap sort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Lit>
              <c:formatCode>General</c:formatCode>
              <c:ptCount val="7"/>
              <c:pt idx="0">
                <c:v>10</c:v>
              </c:pt>
              <c:pt idx="1">
                <c:v>100</c:v>
              </c:pt>
              <c:pt idx="2">
                <c:v>1000</c:v>
              </c:pt>
              <c:pt idx="3">
                <c:v>10000</c:v>
              </c:pt>
              <c:pt idx="4">
                <c:v>100000</c:v>
              </c:pt>
              <c:pt idx="5">
                <c:v>100000</c:v>
              </c:pt>
              <c:pt idx="6">
                <c:v>10000000</c:v>
              </c:pt>
            </c:numLit>
          </c:cat>
          <c:val>
            <c:numRef>
              <c:f>Лист1!$F$44:$F$50</c:f>
              <c:numCache>
                <c:formatCode>General</c:formatCode>
                <c:ptCount val="7"/>
                <c:pt idx="0">
                  <c:v>9.7142857142857154E-4</c:v>
                </c:pt>
                <c:pt idx="1">
                  <c:v>8.8285714285714287E-3</c:v>
                </c:pt>
                <c:pt idx="2">
                  <c:v>8.3485714285714274E-2</c:v>
                </c:pt>
                <c:pt idx="3">
                  <c:v>0.96980000000000011</c:v>
                </c:pt>
                <c:pt idx="4">
                  <c:v>13.998314285714287</c:v>
                </c:pt>
                <c:pt idx="5">
                  <c:v>240.70528571428571</c:v>
                </c:pt>
                <c:pt idx="6">
                  <c:v>6979.3371428571427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AA-4127-B14E-163DDBFE6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0461119"/>
        <c:axId val="1174694623"/>
      </c:lineChart>
      <c:catAx>
        <c:axId val="107046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4694623"/>
        <c:crosses val="autoZero"/>
        <c:auto val="1"/>
        <c:lblAlgn val="ctr"/>
        <c:lblOffset val="100"/>
        <c:noMultiLvlLbl val="0"/>
      </c:catAx>
      <c:valAx>
        <c:axId val="117469462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7046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1605</xdr:colOff>
      <xdr:row>0</xdr:row>
      <xdr:rowOff>0</xdr:rowOff>
    </xdr:from>
    <xdr:to>
      <xdr:col>25</xdr:col>
      <xdr:colOff>607443</xdr:colOff>
      <xdr:row>40</xdr:row>
      <xdr:rowOff>197688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1739209-82A0-46D3-8FC9-5397C76CA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zoomScaleNormal="100" workbookViewId="0">
      <selection activeCell="I50" sqref="I50"/>
    </sheetView>
  </sheetViews>
  <sheetFormatPr defaultRowHeight="15" x14ac:dyDescent="0.25"/>
  <cols>
    <col min="1" max="1" width="10" style="1" customWidth="1"/>
    <col min="2" max="8" width="9.140625" style="1" customWidth="1"/>
    <col min="9" max="9" width="17.85546875" style="1" customWidth="1"/>
    <col min="10" max="16384" width="9.140625" style="1"/>
  </cols>
  <sheetData>
    <row r="1" spans="1:9" ht="15" customHeight="1" thickBot="1" x14ac:dyDescent="0.3">
      <c r="A1" s="13" t="s">
        <v>9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</row>
    <row r="2" spans="1:9" x14ac:dyDescent="0.25">
      <c r="A2" s="30" t="s">
        <v>0</v>
      </c>
      <c r="B2" s="31"/>
      <c r="C2" s="31"/>
      <c r="D2" s="31"/>
      <c r="E2" s="31"/>
      <c r="F2" s="31"/>
      <c r="G2" s="31"/>
      <c r="H2" s="31"/>
      <c r="I2" s="32"/>
    </row>
    <row r="3" spans="1:9" x14ac:dyDescent="0.25">
      <c r="A3" s="11">
        <v>10</v>
      </c>
      <c r="B3" s="7">
        <v>5.0000000000000001E-4</v>
      </c>
      <c r="C3" s="6">
        <v>8.0000000000000004E-4</v>
      </c>
      <c r="D3" s="6">
        <v>1E-3</v>
      </c>
      <c r="E3" s="6">
        <v>8.0000000000000004E-4</v>
      </c>
      <c r="F3" s="6">
        <v>8.0000000000000004E-4</v>
      </c>
      <c r="G3" s="6">
        <v>5.9999999999999995E-4</v>
      </c>
      <c r="H3" s="6">
        <v>4.0000000000000002E-4</v>
      </c>
      <c r="I3" s="2">
        <f>AVERAGE(B3:H3)</f>
        <v>6.9999999999999999E-4</v>
      </c>
    </row>
    <row r="4" spans="1:9" x14ac:dyDescent="0.25">
      <c r="A4" s="17">
        <v>100</v>
      </c>
      <c r="B4" s="18">
        <v>9.1000000000000004E-3</v>
      </c>
      <c r="C4" s="19">
        <v>9.5999999999999992E-3</v>
      </c>
      <c r="D4" s="19">
        <v>8.0000000000000002E-3</v>
      </c>
      <c r="E4" s="19">
        <v>1.06E-2</v>
      </c>
      <c r="F4" s="19">
        <v>8.6E-3</v>
      </c>
      <c r="G4" s="19">
        <v>1.03E-2</v>
      </c>
      <c r="H4" s="19">
        <v>1.06E-2</v>
      </c>
      <c r="I4" s="3">
        <f t="shared" ref="I4:I9" si="0">AVERAGE(B4:H4)</f>
        <v>9.5428571428571429E-3</v>
      </c>
    </row>
    <row r="5" spans="1:9" x14ac:dyDescent="0.25">
      <c r="A5" s="11">
        <v>1000</v>
      </c>
      <c r="B5" s="7">
        <v>0.1094</v>
      </c>
      <c r="C5" s="6">
        <v>8.8900000000000007E-2</v>
      </c>
      <c r="D5" s="6">
        <v>7.3200000000000001E-2</v>
      </c>
      <c r="E5" s="6">
        <v>8.1799999999999998E-2</v>
      </c>
      <c r="F5" s="6">
        <v>8.3000000000000004E-2</v>
      </c>
      <c r="G5" s="6">
        <v>8.6099999999999996E-2</v>
      </c>
      <c r="H5" s="6">
        <v>0.2074</v>
      </c>
      <c r="I5" s="2">
        <f t="shared" si="0"/>
        <v>0.10425714285714285</v>
      </c>
    </row>
    <row r="6" spans="1:9" x14ac:dyDescent="0.25">
      <c r="A6" s="17">
        <v>10000</v>
      </c>
      <c r="B6" s="18">
        <v>0.70269999999999999</v>
      </c>
      <c r="C6" s="19">
        <v>0.72050000000000003</v>
      </c>
      <c r="D6" s="19">
        <v>0.65949999999999998</v>
      </c>
      <c r="E6" s="19">
        <v>0.78910000000000002</v>
      </c>
      <c r="F6" s="19">
        <v>0.62909999999999999</v>
      </c>
      <c r="G6" s="19">
        <v>0.69140000000000001</v>
      </c>
      <c r="H6" s="19">
        <v>1.0952</v>
      </c>
      <c r="I6" s="3">
        <f t="shared" si="0"/>
        <v>0.75535714285714284</v>
      </c>
    </row>
    <row r="7" spans="1:9" x14ac:dyDescent="0.25">
      <c r="A7" s="11">
        <v>100000</v>
      </c>
      <c r="B7" s="7">
        <v>11.3009</v>
      </c>
      <c r="C7" s="6">
        <v>8.5290999999999997</v>
      </c>
      <c r="D7" s="6">
        <v>7.9006999999999996</v>
      </c>
      <c r="E7" s="6">
        <v>8.6080000000000005</v>
      </c>
      <c r="F7" s="6">
        <v>10.9663</v>
      </c>
      <c r="G7" s="6">
        <v>8.6738999999999997</v>
      </c>
      <c r="H7" s="6">
        <v>10.604799999999999</v>
      </c>
      <c r="I7" s="2">
        <f t="shared" si="0"/>
        <v>9.5119571428571437</v>
      </c>
    </row>
    <row r="8" spans="1:9" ht="15" customHeight="1" x14ac:dyDescent="0.25">
      <c r="A8" s="17">
        <v>1000000</v>
      </c>
      <c r="B8" s="18">
        <v>118.10599999999999</v>
      </c>
      <c r="C8" s="19">
        <v>123.664</v>
      </c>
      <c r="D8" s="19">
        <v>124.242</v>
      </c>
      <c r="E8" s="19">
        <v>99.825000000000003</v>
      </c>
      <c r="F8" s="19">
        <v>116.018</v>
      </c>
      <c r="G8" s="19">
        <v>99.530299999999997</v>
      </c>
      <c r="H8" s="19">
        <v>104.199</v>
      </c>
      <c r="I8" s="3">
        <f t="shared" si="0"/>
        <v>112.22632857142857</v>
      </c>
    </row>
    <row r="9" spans="1:9" ht="15.75" thickBot="1" x14ac:dyDescent="0.3">
      <c r="A9" s="12">
        <v>10000000</v>
      </c>
      <c r="B9" s="9">
        <v>1313.97</v>
      </c>
      <c r="C9" s="10">
        <v>1177.74</v>
      </c>
      <c r="D9" s="10">
        <v>1204.33</v>
      </c>
      <c r="E9" s="10">
        <v>1220.5999999999999</v>
      </c>
      <c r="F9" s="10">
        <v>1211.93</v>
      </c>
      <c r="G9" s="10">
        <v>1209.55</v>
      </c>
      <c r="H9" s="10">
        <v>1191.3900000000001</v>
      </c>
      <c r="I9" s="2">
        <f t="shared" si="0"/>
        <v>1218.5014285714285</v>
      </c>
    </row>
    <row r="10" spans="1:9" x14ac:dyDescent="0.25">
      <c r="A10" s="30" t="s">
        <v>10</v>
      </c>
      <c r="B10" s="31"/>
      <c r="C10" s="31"/>
      <c r="D10" s="31"/>
      <c r="E10" s="31"/>
      <c r="F10" s="31"/>
      <c r="G10" s="31"/>
      <c r="H10" s="31"/>
      <c r="I10" s="32"/>
    </row>
    <row r="11" spans="1:9" x14ac:dyDescent="0.25">
      <c r="A11" s="11">
        <v>10</v>
      </c>
      <c r="B11" s="7">
        <v>9.4000000000000004E-3</v>
      </c>
      <c r="C11" s="6">
        <v>2.2000000000000001E-3</v>
      </c>
      <c r="D11" s="6">
        <v>2.3E-3</v>
      </c>
      <c r="E11" s="6">
        <v>2E-3</v>
      </c>
      <c r="F11" s="6">
        <v>5.0000000000000001E-3</v>
      </c>
      <c r="G11" s="6">
        <v>2.3E-3</v>
      </c>
      <c r="H11" s="6">
        <v>2.5999999999999999E-3</v>
      </c>
      <c r="I11" s="2">
        <f>AVERAGE(B11:H11)</f>
        <v>3.6857142857142861E-3</v>
      </c>
    </row>
    <row r="12" spans="1:9" x14ac:dyDescent="0.25">
      <c r="A12" s="17">
        <v>100</v>
      </c>
      <c r="B12" s="18">
        <v>1.04E-2</v>
      </c>
      <c r="C12" s="19">
        <v>2.0299999999999999E-2</v>
      </c>
      <c r="D12" s="19">
        <v>6.9000000000000006E-2</v>
      </c>
      <c r="E12" s="19">
        <v>1.9E-2</v>
      </c>
      <c r="F12" s="19">
        <v>1.9400000000000001E-2</v>
      </c>
      <c r="G12" s="19">
        <v>2.7900000000000001E-2</v>
      </c>
      <c r="H12" s="19">
        <v>2.41E-2</v>
      </c>
      <c r="I12" s="3">
        <f t="shared" ref="I12:I17" si="1">AVERAGE(B12:H12)</f>
        <v>2.7157142857142859E-2</v>
      </c>
    </row>
    <row r="13" spans="1:9" x14ac:dyDescent="0.25">
      <c r="A13" s="11">
        <v>1000</v>
      </c>
      <c r="B13" s="7">
        <v>0.1532</v>
      </c>
      <c r="C13" s="6">
        <v>0.14369999999999999</v>
      </c>
      <c r="D13" s="6">
        <v>0.12989999999999999</v>
      </c>
      <c r="E13" s="6">
        <v>0.14779999999999999</v>
      </c>
      <c r="F13" s="6">
        <v>0.1351</v>
      </c>
      <c r="G13" s="6">
        <v>0.15759999999999999</v>
      </c>
      <c r="H13" s="6">
        <v>0.2223</v>
      </c>
      <c r="I13" s="2">
        <f t="shared" si="1"/>
        <v>0.15565714285714286</v>
      </c>
    </row>
    <row r="14" spans="1:9" x14ac:dyDescent="0.25">
      <c r="A14" s="17">
        <v>10000</v>
      </c>
      <c r="B14" s="18">
        <v>1.2690999999999999</v>
      </c>
      <c r="C14" s="19">
        <v>1.3511</v>
      </c>
      <c r="D14" s="19">
        <v>1.1819</v>
      </c>
      <c r="E14" s="19">
        <v>1.6631</v>
      </c>
      <c r="F14" s="19">
        <v>1.1958</v>
      </c>
      <c r="G14" s="19">
        <v>1.393</v>
      </c>
      <c r="H14" s="19">
        <v>2.0545</v>
      </c>
      <c r="I14" s="3">
        <f t="shared" si="1"/>
        <v>1.4440714285714285</v>
      </c>
    </row>
    <row r="15" spans="1:9" x14ac:dyDescent="0.25">
      <c r="A15" s="11">
        <v>100000</v>
      </c>
      <c r="B15" s="7">
        <v>16.653400000000001</v>
      </c>
      <c r="C15" s="6">
        <v>15.430999999999999</v>
      </c>
      <c r="D15" s="6">
        <v>15.766999999999999</v>
      </c>
      <c r="E15" s="6">
        <v>16.077000000000002</v>
      </c>
      <c r="F15" s="6">
        <v>15.9903</v>
      </c>
      <c r="G15" s="6">
        <v>15.3825</v>
      </c>
      <c r="H15" s="6">
        <v>24.661799999999999</v>
      </c>
      <c r="I15" s="2">
        <f t="shared" si="1"/>
        <v>17.137571428571427</v>
      </c>
    </row>
    <row r="16" spans="1:9" x14ac:dyDescent="0.25">
      <c r="A16" s="17">
        <v>1000000</v>
      </c>
      <c r="B16" s="18">
        <v>199.09800000000001</v>
      </c>
      <c r="C16" s="19">
        <v>195.66</v>
      </c>
      <c r="D16" s="19">
        <v>214.922</v>
      </c>
      <c r="E16" s="19">
        <v>178.989</v>
      </c>
      <c r="F16" s="19">
        <v>178.22300000000001</v>
      </c>
      <c r="G16" s="19">
        <v>178.709</v>
      </c>
      <c r="H16" s="19">
        <v>210.58699999999999</v>
      </c>
      <c r="I16" s="3">
        <f t="shared" si="1"/>
        <v>193.74114285714288</v>
      </c>
    </row>
    <row r="17" spans="1:9" ht="15.75" thickBot="1" x14ac:dyDescent="0.3">
      <c r="A17" s="12">
        <v>10000000</v>
      </c>
      <c r="B17" s="9">
        <v>2057.2399999999998</v>
      </c>
      <c r="C17" s="10">
        <v>2027.45</v>
      </c>
      <c r="D17" s="10">
        <v>2062.85</v>
      </c>
      <c r="E17" s="10">
        <v>2114.3000000000002</v>
      </c>
      <c r="F17" s="10">
        <v>2058.2600000000002</v>
      </c>
      <c r="G17" s="10">
        <v>2043.33</v>
      </c>
      <c r="H17" s="10">
        <v>2086.5700000000002</v>
      </c>
      <c r="I17" s="2">
        <f t="shared" si="1"/>
        <v>2064.2857142857142</v>
      </c>
    </row>
    <row r="18" spans="1:9" x14ac:dyDescent="0.25">
      <c r="A18" s="30" t="s">
        <v>11</v>
      </c>
      <c r="B18" s="31"/>
      <c r="C18" s="31"/>
      <c r="D18" s="31"/>
      <c r="E18" s="31"/>
      <c r="F18" s="31"/>
      <c r="G18" s="31"/>
      <c r="H18" s="31"/>
      <c r="I18" s="32"/>
    </row>
    <row r="19" spans="1:9" x14ac:dyDescent="0.25">
      <c r="A19" s="11">
        <v>10</v>
      </c>
      <c r="B19" s="7">
        <v>6.9999999999999999E-4</v>
      </c>
      <c r="C19" s="6">
        <v>1E-3</v>
      </c>
      <c r="D19" s="6">
        <v>6.9999999999999999E-4</v>
      </c>
      <c r="E19" s="6">
        <v>8.9999999999999998E-4</v>
      </c>
      <c r="F19" s="6">
        <v>1.5E-3</v>
      </c>
      <c r="G19" s="6">
        <v>8.0000000000000004E-4</v>
      </c>
      <c r="H19" s="6">
        <v>6.9999999999999999E-4</v>
      </c>
      <c r="I19" s="2">
        <f>AVERAGE(B19:H19)</f>
        <v>9.0000000000000008E-4</v>
      </c>
    </row>
    <row r="20" spans="1:9" x14ac:dyDescent="0.25">
      <c r="A20" s="17">
        <v>100</v>
      </c>
      <c r="B20" s="18">
        <v>7.6E-3</v>
      </c>
      <c r="C20" s="19">
        <v>1.18E-2</v>
      </c>
      <c r="D20" s="19">
        <v>8.6E-3</v>
      </c>
      <c r="E20" s="19">
        <v>1.1299999999999999E-2</v>
      </c>
      <c r="F20" s="19">
        <v>9.4000000000000004E-3</v>
      </c>
      <c r="G20" s="19">
        <v>1.06E-2</v>
      </c>
      <c r="H20" s="19">
        <v>1.35E-2</v>
      </c>
      <c r="I20" s="3">
        <f t="shared" ref="I20:I25" si="2">AVERAGE(B20:H20)</f>
        <v>1.0400000000000001E-2</v>
      </c>
    </row>
    <row r="21" spans="1:9" x14ac:dyDescent="0.25">
      <c r="A21" s="11">
        <v>1000</v>
      </c>
      <c r="B21" s="7">
        <v>8.3799999999999999E-2</v>
      </c>
      <c r="C21" s="6">
        <v>9.1899999999999996E-2</v>
      </c>
      <c r="D21" s="6">
        <v>8.4199999999999997E-2</v>
      </c>
      <c r="E21" s="6">
        <v>9.4600000000000004E-2</v>
      </c>
      <c r="F21" s="6">
        <v>6.9699999999999998E-2</v>
      </c>
      <c r="G21" s="6">
        <v>0.1135</v>
      </c>
      <c r="H21" s="6">
        <v>0.1244</v>
      </c>
      <c r="I21" s="2">
        <f t="shared" si="2"/>
        <v>9.4585714285714287E-2</v>
      </c>
    </row>
    <row r="22" spans="1:9" x14ac:dyDescent="0.25">
      <c r="A22" s="17">
        <v>10000</v>
      </c>
      <c r="B22" s="18">
        <v>0.82299999999999995</v>
      </c>
      <c r="C22" s="19">
        <v>0.82989999999999997</v>
      </c>
      <c r="D22" s="19">
        <v>0.70699999999999996</v>
      </c>
      <c r="E22" s="19">
        <v>0.71460000000000001</v>
      </c>
      <c r="F22" s="19">
        <v>0.70030000000000003</v>
      </c>
      <c r="G22" s="19">
        <v>0.75849999999999995</v>
      </c>
      <c r="H22" s="19">
        <v>1.1068</v>
      </c>
      <c r="I22" s="3">
        <f t="shared" si="2"/>
        <v>0.80572857142857135</v>
      </c>
    </row>
    <row r="23" spans="1:9" x14ac:dyDescent="0.25">
      <c r="A23" s="11">
        <v>100000</v>
      </c>
      <c r="B23" s="7">
        <v>9.5978999999999992</v>
      </c>
      <c r="C23" s="6">
        <v>8.7240000000000002</v>
      </c>
      <c r="D23" s="6">
        <v>13.522600000000001</v>
      </c>
      <c r="E23" s="6">
        <v>9.2911999999999999</v>
      </c>
      <c r="F23" s="6">
        <v>8.8374000000000006</v>
      </c>
      <c r="G23" s="6">
        <v>10.1028</v>
      </c>
      <c r="H23" s="6">
        <v>10.570399999999999</v>
      </c>
      <c r="I23" s="2">
        <f t="shared" si="2"/>
        <v>10.09232857142857</v>
      </c>
    </row>
    <row r="24" spans="1:9" x14ac:dyDescent="0.25">
      <c r="A24" s="17">
        <v>1000000</v>
      </c>
      <c r="B24" s="18">
        <v>123.098</v>
      </c>
      <c r="C24" s="19">
        <v>118.66500000000001</v>
      </c>
      <c r="D24" s="19">
        <v>133.684</v>
      </c>
      <c r="E24" s="19">
        <v>98.576999999999998</v>
      </c>
      <c r="F24" s="19">
        <v>100.45099999999999</v>
      </c>
      <c r="G24" s="19">
        <v>98.960599999999999</v>
      </c>
      <c r="H24" s="19">
        <v>115.56</v>
      </c>
      <c r="I24" s="3">
        <f t="shared" si="2"/>
        <v>112.71365714285714</v>
      </c>
    </row>
    <row r="25" spans="1:9" ht="15.75" thickBot="1" x14ac:dyDescent="0.3">
      <c r="A25" s="12">
        <v>10000000</v>
      </c>
      <c r="B25" s="9">
        <v>1171.99</v>
      </c>
      <c r="C25" s="10">
        <v>1163.82</v>
      </c>
      <c r="D25" s="10">
        <v>1153.58</v>
      </c>
      <c r="E25" s="10">
        <v>1158.76</v>
      </c>
      <c r="F25" s="10">
        <v>1142.3</v>
      </c>
      <c r="G25" s="10">
        <v>1151.22</v>
      </c>
      <c r="H25" s="10">
        <v>1133.03</v>
      </c>
      <c r="I25" s="2">
        <f t="shared" si="2"/>
        <v>1153.5285714285715</v>
      </c>
    </row>
    <row r="26" spans="1:9" x14ac:dyDescent="0.25">
      <c r="A26" s="30" t="s">
        <v>12</v>
      </c>
      <c r="B26" s="31"/>
      <c r="C26" s="31"/>
      <c r="D26" s="31"/>
      <c r="E26" s="31"/>
      <c r="F26" s="31"/>
      <c r="G26" s="31"/>
      <c r="H26" s="31"/>
      <c r="I26" s="32"/>
    </row>
    <row r="27" spans="1:9" x14ac:dyDescent="0.25">
      <c r="A27" s="11">
        <v>10</v>
      </c>
      <c r="B27" s="7">
        <v>1.78E-2</v>
      </c>
      <c r="C27" s="6">
        <v>1.0999999999999999E-2</v>
      </c>
      <c r="D27" s="6">
        <v>1.9699999999999999E-2</v>
      </c>
      <c r="E27" s="6">
        <v>2.0199999999999999E-2</v>
      </c>
      <c r="F27" s="6">
        <v>1.17E-2</v>
      </c>
      <c r="G27" s="6">
        <v>1.2500000000000001E-2</v>
      </c>
      <c r="H27" s="6">
        <v>1.2E-2</v>
      </c>
      <c r="I27" s="2">
        <f>AVERAGE(B27:H27)</f>
        <v>1.4985714285714285E-2</v>
      </c>
    </row>
    <row r="28" spans="1:9" x14ac:dyDescent="0.25">
      <c r="A28" s="17">
        <v>100</v>
      </c>
      <c r="B28" s="18">
        <v>3.5299999999999998E-2</v>
      </c>
      <c r="C28" s="19">
        <v>4.0899999999999999E-2</v>
      </c>
      <c r="D28" s="19">
        <v>3.1699999999999999E-2</v>
      </c>
      <c r="E28" s="19">
        <v>2.18E-2</v>
      </c>
      <c r="F28" s="19">
        <v>2.12E-2</v>
      </c>
      <c r="G28" s="19">
        <v>2.2599999999999999E-2</v>
      </c>
      <c r="H28" s="19">
        <v>2.8000000000000001E-2</v>
      </c>
      <c r="I28" s="3">
        <f t="shared" ref="I28:I33" si="3">AVERAGE(B28:H28)</f>
        <v>2.8785714285714283E-2</v>
      </c>
    </row>
    <row r="29" spans="1:9" x14ac:dyDescent="0.25">
      <c r="A29" s="11">
        <v>1000</v>
      </c>
      <c r="B29" s="7">
        <v>6.0699999999999997E-2</v>
      </c>
      <c r="C29" s="6">
        <v>0.14119999999999999</v>
      </c>
      <c r="D29" s="6">
        <v>0.13869999999999999</v>
      </c>
      <c r="E29" s="6">
        <v>0.1517</v>
      </c>
      <c r="F29" s="6">
        <v>0.1164</v>
      </c>
      <c r="G29" s="6">
        <v>0.15290000000000001</v>
      </c>
      <c r="H29" s="6">
        <v>0.26019999999999999</v>
      </c>
      <c r="I29" s="2">
        <f t="shared" si="3"/>
        <v>0.14597142857142859</v>
      </c>
    </row>
    <row r="30" spans="1:9" x14ac:dyDescent="0.25">
      <c r="A30" s="17">
        <v>10000</v>
      </c>
      <c r="B30" s="18">
        <v>0.5696</v>
      </c>
      <c r="C30" s="19">
        <v>0.32050000000000001</v>
      </c>
      <c r="D30" s="19">
        <v>0.28079999999999999</v>
      </c>
      <c r="E30" s="19">
        <v>0.29880000000000001</v>
      </c>
      <c r="F30" s="19">
        <v>0.46429999999999999</v>
      </c>
      <c r="G30" s="19">
        <v>0.30580000000000002</v>
      </c>
      <c r="H30" s="19">
        <v>0.44569999999999999</v>
      </c>
      <c r="I30" s="3">
        <f t="shared" si="3"/>
        <v>0.38364285714285712</v>
      </c>
    </row>
    <row r="31" spans="1:9" x14ac:dyDescent="0.25">
      <c r="A31" s="11">
        <v>100000</v>
      </c>
      <c r="B31" s="7">
        <v>5.1314000000000002</v>
      </c>
      <c r="C31" s="6">
        <v>4.4694000000000003</v>
      </c>
      <c r="D31" s="6">
        <v>3.5415000000000001</v>
      </c>
      <c r="E31" s="6">
        <v>3.2183000000000002</v>
      </c>
      <c r="F31" s="6">
        <v>4.7419000000000002</v>
      </c>
      <c r="G31" s="6">
        <v>3.2008999999999999</v>
      </c>
      <c r="H31" s="6">
        <v>3.4462000000000002</v>
      </c>
      <c r="I31" s="2">
        <f t="shared" si="3"/>
        <v>3.9642285714285714</v>
      </c>
    </row>
    <row r="32" spans="1:9" x14ac:dyDescent="0.25">
      <c r="A32" s="17">
        <v>1000000</v>
      </c>
      <c r="B32" s="18">
        <v>65.031599999999997</v>
      </c>
      <c r="C32" s="19">
        <v>65.883499999999998</v>
      </c>
      <c r="D32" s="19">
        <v>62.466999999999999</v>
      </c>
      <c r="E32" s="19">
        <v>71.851699999999994</v>
      </c>
      <c r="F32" s="19">
        <v>53.747399999999999</v>
      </c>
      <c r="G32" s="19">
        <v>82.680300000000003</v>
      </c>
      <c r="H32" s="19">
        <v>61.671100000000003</v>
      </c>
      <c r="I32" s="3">
        <f t="shared" si="3"/>
        <v>66.190371428571424</v>
      </c>
    </row>
    <row r="33" spans="1:9" ht="15.75" thickBot="1" x14ac:dyDescent="0.3">
      <c r="A33" s="12">
        <v>10000000</v>
      </c>
      <c r="B33" s="9">
        <v>622.95000000000005</v>
      </c>
      <c r="C33" s="10">
        <v>596.71900000000005</v>
      </c>
      <c r="D33" s="10">
        <v>559.04100000000005</v>
      </c>
      <c r="E33" s="10">
        <v>555.875</v>
      </c>
      <c r="F33" s="10">
        <v>577.73900000000003</v>
      </c>
      <c r="G33" s="10">
        <v>558.64200000000005</v>
      </c>
      <c r="H33" s="10">
        <v>548.17200000000003</v>
      </c>
      <c r="I33" s="2">
        <f t="shared" si="3"/>
        <v>574.16257142857148</v>
      </c>
    </row>
    <row r="34" spans="1:9" x14ac:dyDescent="0.25">
      <c r="A34" s="30" t="s">
        <v>13</v>
      </c>
      <c r="B34" s="31"/>
      <c r="C34" s="31"/>
      <c r="D34" s="31"/>
      <c r="E34" s="31"/>
      <c r="F34" s="31"/>
      <c r="G34" s="31"/>
      <c r="H34" s="31"/>
      <c r="I34" s="32"/>
    </row>
    <row r="35" spans="1:9" x14ac:dyDescent="0.25">
      <c r="A35" s="11">
        <v>10</v>
      </c>
      <c r="B35" s="7">
        <v>8.9999999999999998E-4</v>
      </c>
      <c r="C35" s="6">
        <v>8.9999999999999998E-4</v>
      </c>
      <c r="D35" s="6">
        <v>8.9999999999999998E-4</v>
      </c>
      <c r="E35" s="6">
        <v>1.1000000000000001E-3</v>
      </c>
      <c r="F35" s="6">
        <v>6.9999999999999999E-4</v>
      </c>
      <c r="G35" s="6">
        <v>1.2999999999999999E-3</v>
      </c>
      <c r="H35" s="6">
        <v>1E-3</v>
      </c>
      <c r="I35" s="2">
        <f>AVERAGE(B35:H35)</f>
        <v>9.7142857142857154E-4</v>
      </c>
    </row>
    <row r="36" spans="1:9" x14ac:dyDescent="0.25">
      <c r="A36" s="17">
        <v>100</v>
      </c>
      <c r="B36" s="18">
        <v>7.0000000000000001E-3</v>
      </c>
      <c r="C36" s="19">
        <v>1.06E-2</v>
      </c>
      <c r="D36" s="19">
        <v>6.3E-3</v>
      </c>
      <c r="E36" s="19">
        <v>9.5999999999999992E-3</v>
      </c>
      <c r="F36" s="19">
        <v>8.3999999999999995E-3</v>
      </c>
      <c r="G36" s="19">
        <v>9.4000000000000004E-3</v>
      </c>
      <c r="H36" s="19">
        <v>1.0500000000000001E-2</v>
      </c>
      <c r="I36" s="3">
        <f t="shared" ref="I36:I41" si="4">AVERAGE(B36:H36)</f>
        <v>8.8285714285714287E-3</v>
      </c>
    </row>
    <row r="37" spans="1:9" x14ac:dyDescent="0.25">
      <c r="A37" s="11">
        <v>1000</v>
      </c>
      <c r="B37" s="7">
        <v>7.6100000000000001E-2</v>
      </c>
      <c r="C37" s="6">
        <v>9.5899999999999999E-2</v>
      </c>
      <c r="D37" s="6">
        <v>5.96E-2</v>
      </c>
      <c r="E37" s="6">
        <v>6.4299999999999996E-2</v>
      </c>
      <c r="F37" s="6">
        <v>0.1195</v>
      </c>
      <c r="G37" s="6">
        <v>7.1999999999999995E-2</v>
      </c>
      <c r="H37" s="6">
        <v>9.7000000000000003E-2</v>
      </c>
      <c r="I37" s="2">
        <f t="shared" si="4"/>
        <v>8.3485714285714274E-2</v>
      </c>
    </row>
    <row r="38" spans="1:9" x14ac:dyDescent="0.25">
      <c r="A38" s="17">
        <v>10000</v>
      </c>
      <c r="B38" s="18">
        <v>0.86050000000000004</v>
      </c>
      <c r="C38" s="19">
        <v>0.91169999999999995</v>
      </c>
      <c r="D38" s="19">
        <v>0.74170000000000003</v>
      </c>
      <c r="E38" s="19">
        <v>0.75329999999999997</v>
      </c>
      <c r="F38" s="19">
        <v>0.81889999999999996</v>
      </c>
      <c r="G38" s="19">
        <v>1.1507000000000001</v>
      </c>
      <c r="H38" s="19">
        <v>1.5518000000000001</v>
      </c>
      <c r="I38" s="3">
        <f t="shared" si="4"/>
        <v>0.96980000000000011</v>
      </c>
    </row>
    <row r="39" spans="1:9" x14ac:dyDescent="0.25">
      <c r="A39" s="11">
        <v>100000</v>
      </c>
      <c r="B39" s="7">
        <v>18.841100000000001</v>
      </c>
      <c r="C39" s="6">
        <v>12.2011</v>
      </c>
      <c r="D39" s="6">
        <v>12.476599999999999</v>
      </c>
      <c r="E39" s="6">
        <v>13.5755</v>
      </c>
      <c r="F39" s="6">
        <v>15.3089</v>
      </c>
      <c r="G39" s="6">
        <v>12.645200000000001</v>
      </c>
      <c r="H39" s="6">
        <v>12.9398</v>
      </c>
      <c r="I39" s="2">
        <f t="shared" si="4"/>
        <v>13.998314285714287</v>
      </c>
    </row>
    <row r="40" spans="1:9" x14ac:dyDescent="0.25">
      <c r="A40" s="17">
        <v>1000000</v>
      </c>
      <c r="B40" s="18">
        <v>236.958</v>
      </c>
      <c r="C40" s="19">
        <v>250.191</v>
      </c>
      <c r="D40" s="19">
        <v>244.20099999999999</v>
      </c>
      <c r="E40" s="19">
        <v>231.32400000000001</v>
      </c>
      <c r="F40" s="19">
        <v>235.858</v>
      </c>
      <c r="G40" s="19">
        <v>231.91800000000001</v>
      </c>
      <c r="H40" s="19">
        <v>254.48699999999999</v>
      </c>
      <c r="I40" s="3">
        <f t="shared" si="4"/>
        <v>240.70528571428571</v>
      </c>
    </row>
    <row r="41" spans="1:9" ht="15.75" thickBot="1" x14ac:dyDescent="0.3">
      <c r="A41" s="12">
        <v>10000000</v>
      </c>
      <c r="B41" s="9">
        <v>6885.24</v>
      </c>
      <c r="C41" s="10">
        <v>6870.37</v>
      </c>
      <c r="D41" s="10">
        <v>6939.53</v>
      </c>
      <c r="E41" s="10">
        <v>6841.76</v>
      </c>
      <c r="F41" s="10">
        <v>6892.03</v>
      </c>
      <c r="G41" s="10">
        <v>7588.26</v>
      </c>
      <c r="H41" s="10">
        <v>6838.17</v>
      </c>
      <c r="I41" s="5">
        <f t="shared" si="4"/>
        <v>6979.3371428571427</v>
      </c>
    </row>
    <row r="42" spans="1:9" ht="15.75" thickBot="1" x14ac:dyDescent="0.3"/>
    <row r="43" spans="1:9" x14ac:dyDescent="0.25">
      <c r="A43" s="23" t="s">
        <v>9</v>
      </c>
      <c r="B43" s="21" t="s">
        <v>0</v>
      </c>
      <c r="C43" s="21" t="s">
        <v>10</v>
      </c>
      <c r="D43" s="21" t="s">
        <v>11</v>
      </c>
      <c r="E43" s="21" t="s">
        <v>12</v>
      </c>
      <c r="F43" s="22" t="s">
        <v>13</v>
      </c>
    </row>
    <row r="44" spans="1:9" x14ac:dyDescent="0.25">
      <c r="A44" s="24">
        <v>10</v>
      </c>
      <c r="B44" s="25">
        <f>I3</f>
        <v>6.9999999999999999E-4</v>
      </c>
      <c r="C44" s="25">
        <f>I11</f>
        <v>3.6857142857142861E-3</v>
      </c>
      <c r="D44" s="25">
        <f>I19</f>
        <v>9.0000000000000008E-4</v>
      </c>
      <c r="E44" s="25">
        <f>I27</f>
        <v>1.4985714285714285E-2</v>
      </c>
      <c r="F44" s="26">
        <f>I35</f>
        <v>9.7142857142857154E-4</v>
      </c>
    </row>
    <row r="45" spans="1:9" x14ac:dyDescent="0.25">
      <c r="A45" s="20">
        <v>100</v>
      </c>
      <c r="B45" s="6">
        <f>I4</f>
        <v>9.5428571428571429E-3</v>
      </c>
      <c r="C45" s="6">
        <f>I12</f>
        <v>2.7157142857142859E-2</v>
      </c>
      <c r="D45" s="6">
        <f t="shared" ref="D45:D50" si="5">I20</f>
        <v>1.0400000000000001E-2</v>
      </c>
      <c r="E45" s="6">
        <f t="shared" ref="E45:E50" si="6">I28</f>
        <v>2.8785714285714283E-2</v>
      </c>
      <c r="F45" s="8">
        <f t="shared" ref="F45:F50" si="7">I36</f>
        <v>8.8285714285714287E-3</v>
      </c>
    </row>
    <row r="46" spans="1:9" x14ac:dyDescent="0.25">
      <c r="A46" s="24">
        <v>1000</v>
      </c>
      <c r="B46" s="25">
        <f t="shared" ref="B46:B50" si="8">I5</f>
        <v>0.10425714285714285</v>
      </c>
      <c r="C46" s="25">
        <f t="shared" ref="C46:C50" si="9">I13</f>
        <v>0.15565714285714286</v>
      </c>
      <c r="D46" s="25">
        <f t="shared" si="5"/>
        <v>9.4585714285714287E-2</v>
      </c>
      <c r="E46" s="25">
        <f t="shared" si="6"/>
        <v>0.14597142857142859</v>
      </c>
      <c r="F46" s="26">
        <f t="shared" si="7"/>
        <v>8.3485714285714274E-2</v>
      </c>
    </row>
    <row r="47" spans="1:9" x14ac:dyDescent="0.25">
      <c r="A47" s="20">
        <v>10000</v>
      </c>
      <c r="B47" s="6">
        <f t="shared" si="8"/>
        <v>0.75535714285714284</v>
      </c>
      <c r="C47" s="6">
        <f t="shared" si="9"/>
        <v>1.4440714285714285</v>
      </c>
      <c r="D47" s="6">
        <f t="shared" si="5"/>
        <v>0.80572857142857135</v>
      </c>
      <c r="E47" s="6">
        <f t="shared" si="6"/>
        <v>0.38364285714285712</v>
      </c>
      <c r="F47" s="8">
        <f t="shared" si="7"/>
        <v>0.96980000000000011</v>
      </c>
    </row>
    <row r="48" spans="1:9" x14ac:dyDescent="0.25">
      <c r="A48" s="24">
        <v>100000</v>
      </c>
      <c r="B48" s="25">
        <f t="shared" si="8"/>
        <v>9.5119571428571437</v>
      </c>
      <c r="C48" s="25">
        <f t="shared" si="9"/>
        <v>17.137571428571427</v>
      </c>
      <c r="D48" s="25">
        <f t="shared" si="5"/>
        <v>10.09232857142857</v>
      </c>
      <c r="E48" s="25">
        <f t="shared" si="6"/>
        <v>3.9642285714285714</v>
      </c>
      <c r="F48" s="26">
        <f t="shared" si="7"/>
        <v>13.998314285714287</v>
      </c>
    </row>
    <row r="49" spans="1:6" x14ac:dyDescent="0.25">
      <c r="A49" s="20">
        <v>1000000</v>
      </c>
      <c r="B49" s="6">
        <f t="shared" si="8"/>
        <v>112.22632857142857</v>
      </c>
      <c r="C49" s="6">
        <f t="shared" si="9"/>
        <v>193.74114285714288</v>
      </c>
      <c r="D49" s="6">
        <f t="shared" si="5"/>
        <v>112.71365714285714</v>
      </c>
      <c r="E49" s="6">
        <f t="shared" si="6"/>
        <v>66.190371428571424</v>
      </c>
      <c r="F49" s="8">
        <f t="shared" si="7"/>
        <v>240.70528571428571</v>
      </c>
    </row>
    <row r="50" spans="1:6" ht="15.75" thickBot="1" x14ac:dyDescent="0.3">
      <c r="A50" s="27">
        <v>10000000</v>
      </c>
      <c r="B50" s="4">
        <f t="shared" si="8"/>
        <v>1218.5014285714285</v>
      </c>
      <c r="C50" s="28">
        <f t="shared" si="9"/>
        <v>2064.2857142857142</v>
      </c>
      <c r="D50" s="28">
        <f t="shared" si="5"/>
        <v>1153.5285714285715</v>
      </c>
      <c r="E50" s="28">
        <f t="shared" si="6"/>
        <v>574.16257142857148</v>
      </c>
      <c r="F50" s="29">
        <f t="shared" si="7"/>
        <v>6979.3371428571427</v>
      </c>
    </row>
  </sheetData>
  <mergeCells count="5">
    <mergeCell ref="A18:I18"/>
    <mergeCell ref="A26:I26"/>
    <mergeCell ref="A34:I34"/>
    <mergeCell ref="A2:I2"/>
    <mergeCell ref="A10:I10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Горбачёв</dc:creator>
  <cp:lastModifiedBy>root</cp:lastModifiedBy>
  <dcterms:created xsi:type="dcterms:W3CDTF">2020-10-21T18:32:54Z</dcterms:created>
  <dcterms:modified xsi:type="dcterms:W3CDTF">2021-12-08T16:08:41Z</dcterms:modified>
</cp:coreProperties>
</file>